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Curso Excell DIO\"/>
    </mc:Choice>
  </mc:AlternateContent>
  <xr:revisionPtr revIDLastSave="0" documentId="13_ncr:1_{7CB81630-8C29-482D-BC9E-E9C595D75F65}" xr6:coauthVersionLast="47" xr6:coauthVersionMax="47" xr10:uidLastSave="{00000000-0000-0000-0000-000000000000}"/>
  <bookViews>
    <workbookView xWindow="-108" yWindow="-108" windowWidth="23256" windowHeight="12576" xr2:uid="{1347396B-597C-42C5-86E5-29B238A85EC8}"/>
  </bookViews>
  <sheets>
    <sheet name="ferramenta" sheetId="1" r:id="rId1"/>
    <sheet name="tab. apoio" sheetId="2" r:id="rId2"/>
  </sheets>
  <definedNames>
    <definedName name="aporte">ferramenta!$D$17</definedName>
    <definedName name="patrimonio">ferramenta!$D$20</definedName>
    <definedName name="qtd_anos">ferramenta!$D$18</definedName>
    <definedName name="rendimento_carteira">ferramenta!$D$13</definedName>
    <definedName name="salario">ferramenta!$D$12</definedName>
    <definedName name="sugestao_investimento">ferramenta!$D$14</definedName>
    <definedName name="taxa_mensal">ferramenta!$D$19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5" i="1" l="1"/>
  <c r="D35" i="1" s="1"/>
  <c r="C36" i="1"/>
  <c r="D36" i="1" s="1"/>
  <c r="C37" i="1"/>
  <c r="D37" i="1" s="1"/>
  <c r="C38" i="1"/>
  <c r="D38" i="1" s="1"/>
  <c r="C39" i="1"/>
  <c r="D39" i="1" s="1"/>
  <c r="C34" i="1"/>
  <c r="D34" i="1" s="1"/>
  <c r="I8" i="2"/>
  <c r="A19" i="2"/>
  <c r="A20" i="2"/>
  <c r="A21" i="2"/>
  <c r="A22" i="2"/>
  <c r="A23" i="2"/>
  <c r="A18" i="2"/>
  <c r="A13" i="2"/>
  <c r="A14" i="2"/>
  <c r="A15" i="2"/>
  <c r="A16" i="2"/>
  <c r="A17" i="2"/>
  <c r="A12" i="2"/>
  <c r="A7" i="2"/>
  <c r="A8" i="2"/>
  <c r="A9" i="2"/>
  <c r="A10" i="2"/>
  <c r="A11" i="2"/>
  <c r="A6" i="2"/>
  <c r="D20" i="1"/>
  <c r="D21" i="1" s="1"/>
  <c r="C26" i="1"/>
  <c r="D26" i="1" s="1"/>
  <c r="C27" i="1"/>
  <c r="D27" i="1" s="1"/>
  <c r="C28" i="1"/>
  <c r="D28" i="1" s="1"/>
  <c r="C25" i="1"/>
  <c r="D25" i="1" s="1"/>
  <c r="C24" i="1"/>
  <c r="D24" i="1" s="1"/>
  <c r="D14" i="1"/>
  <c r="D40" i="1" l="1"/>
</calcChain>
</file>

<file path=xl/sharedStrings.xml><?xml version="1.0" encoding="utf-8"?>
<sst xmlns="http://schemas.openxmlformats.org/spreadsheetml/2006/main" count="69" uniqueCount="35">
  <si>
    <t>Quanto investir por mês?</t>
  </si>
  <si>
    <t>Por quantos anos?</t>
  </si>
  <si>
    <t>Taxa de rendimento mensal?</t>
  </si>
  <si>
    <t>Qual o patrimônio acumulado terei?</t>
  </si>
  <si>
    <t>Quanto receberei de dividendo mensal?</t>
  </si>
  <si>
    <t>INVESTIMENTO MENSAL</t>
  </si>
  <si>
    <t>Quanto terá em 2 anos?</t>
  </si>
  <si>
    <t>Quanto terá em 5 anos?</t>
  </si>
  <si>
    <t>Quanto terá em 10 anos?</t>
  </si>
  <si>
    <t>Quanto terá em 20 anos?</t>
  </si>
  <si>
    <t>Quanto terá em 30 anos?</t>
  </si>
  <si>
    <t>Dividendo</t>
  </si>
  <si>
    <t>Rendimento carteira</t>
  </si>
  <si>
    <t>Salário</t>
  </si>
  <si>
    <t>CONFIGURAÇÕES</t>
  </si>
  <si>
    <t>Agressivo</t>
  </si>
  <si>
    <t>Valor a ser investido por mês</t>
  </si>
  <si>
    <t>PERFIL</t>
  </si>
  <si>
    <t>TIPO DE FII</t>
  </si>
  <si>
    <t>Papel</t>
  </si>
  <si>
    <t>Tijolo</t>
  </si>
  <si>
    <t>Híbridos</t>
  </si>
  <si>
    <t>FOFs</t>
  </si>
  <si>
    <t>Desenvolvimento</t>
  </si>
  <si>
    <t>Hotelaria</t>
  </si>
  <si>
    <t>Percentual sugerido</t>
  </si>
  <si>
    <t>Valores</t>
  </si>
  <si>
    <t>perfil</t>
  </si>
  <si>
    <t>Conservador</t>
  </si>
  <si>
    <t>%</t>
  </si>
  <si>
    <t>Moderado</t>
  </si>
  <si>
    <t>Moderado-Tijolo</t>
  </si>
  <si>
    <t>agressivo</t>
  </si>
  <si>
    <t>Sugestão de investimento (30%)</t>
  </si>
  <si>
    <t>CENÁRIO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</si>
</sst>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9" formatCode="&quot;R$&quot;\ #,##0.00"/>
  </numFmts>
  <fonts count="10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ptos Display"/>
      <family val="2"/>
    </font>
    <font>
      <b/>
      <sz val="12"/>
      <color theme="1"/>
      <name val="Aptos Display"/>
      <family val="2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2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0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0" xfId="0" applyFont="1"/>
    <xf numFmtId="9" fontId="0" fillId="0" borderId="0" xfId="0" applyNumberFormat="1"/>
    <xf numFmtId="10" fontId="0" fillId="0" borderId="8" xfId="0" applyNumberFormat="1" applyBorder="1" applyAlignment="1">
      <alignment horizontal="center"/>
    </xf>
    <xf numFmtId="169" fontId="0" fillId="0" borderId="10" xfId="0" applyNumberFormat="1" applyBorder="1" applyAlignment="1">
      <alignment horizontal="center"/>
    </xf>
    <xf numFmtId="8" fontId="0" fillId="4" borderId="5" xfId="0" applyNumberFormat="1" applyFill="1" applyBorder="1" applyAlignment="1">
      <alignment horizontal="center"/>
    </xf>
    <xf numFmtId="8" fontId="0" fillId="4" borderId="6" xfId="0" applyNumberForma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6" fillId="5" borderId="2" xfId="0" applyFont="1" applyFill="1" applyBorder="1" applyAlignment="1"/>
    <xf numFmtId="169" fontId="0" fillId="0" borderId="12" xfId="0" applyNumberFormat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8" fillId="4" borderId="11" xfId="0" applyFont="1" applyFill="1" applyBorder="1"/>
    <xf numFmtId="8" fontId="0" fillId="4" borderId="12" xfId="0" applyNumberFormat="1" applyFill="1" applyBorder="1" applyAlignment="1">
      <alignment horizontal="center"/>
    </xf>
    <xf numFmtId="0" fontId="8" fillId="4" borderId="7" xfId="0" applyFont="1" applyFill="1" applyBorder="1"/>
    <xf numFmtId="8" fontId="0" fillId="4" borderId="8" xfId="0" applyNumberFormat="1" applyFill="1" applyBorder="1" applyAlignment="1">
      <alignment horizontal="center"/>
    </xf>
    <xf numFmtId="0" fontId="8" fillId="4" borderId="9" xfId="0" applyFont="1" applyFill="1" applyBorder="1"/>
    <xf numFmtId="8" fontId="0" fillId="4" borderId="13" xfId="0" applyNumberFormat="1" applyFill="1" applyBorder="1" applyAlignment="1">
      <alignment horizontal="center"/>
    </xf>
    <xf numFmtId="8" fontId="0" fillId="4" borderId="10" xfId="0" applyNumberFormat="1" applyFill="1" applyBorder="1" applyAlignment="1">
      <alignment horizontal="center"/>
    </xf>
    <xf numFmtId="169" fontId="2" fillId="0" borderId="16" xfId="0" applyNumberFormat="1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10" fontId="2" fillId="0" borderId="17" xfId="0" applyNumberFormat="1" applyFont="1" applyBorder="1" applyAlignment="1">
      <alignment horizontal="center"/>
    </xf>
    <xf numFmtId="8" fontId="2" fillId="4" borderId="17" xfId="0" applyNumberFormat="1" applyFont="1" applyFill="1" applyBorder="1" applyAlignment="1">
      <alignment horizontal="center"/>
    </xf>
    <xf numFmtId="8" fontId="2" fillId="4" borderId="18" xfId="0" applyNumberFormat="1" applyFont="1" applyFill="1" applyBorder="1" applyAlignment="1">
      <alignment horizontal="center"/>
    </xf>
    <xf numFmtId="0" fontId="9" fillId="4" borderId="15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9" fillId="4" borderId="21" xfId="0" applyFont="1" applyFill="1" applyBorder="1" applyAlignment="1">
      <alignment horizontal="center"/>
    </xf>
    <xf numFmtId="0" fontId="9" fillId="4" borderId="22" xfId="0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/>
    </xf>
    <xf numFmtId="0" fontId="8" fillId="4" borderId="19" xfId="0" applyFont="1" applyFill="1" applyBorder="1" applyAlignment="1">
      <alignment horizontal="center"/>
    </xf>
    <xf numFmtId="0" fontId="8" fillId="4" borderId="14" xfId="0" applyFont="1" applyFill="1" applyBorder="1" applyAlignment="1">
      <alignment horizontal="center"/>
    </xf>
    <xf numFmtId="0" fontId="8" fillId="4" borderId="20" xfId="0" applyFont="1" applyFill="1" applyBorder="1" applyAlignment="1">
      <alignment horizontal="center"/>
    </xf>
    <xf numFmtId="0" fontId="8" fillId="4" borderId="15" xfId="0" applyFont="1" applyFill="1" applyBorder="1" applyAlignment="1">
      <alignment horizontal="center"/>
    </xf>
    <xf numFmtId="0" fontId="8" fillId="4" borderId="0" xfId="0" applyFont="1" applyFill="1" applyBorder="1"/>
    <xf numFmtId="0" fontId="0" fillId="6" borderId="0" xfId="0" applyFill="1"/>
    <xf numFmtId="0" fontId="0" fillId="6" borderId="0" xfId="0" applyFill="1" applyAlignment="1">
      <alignment horizontal="center"/>
    </xf>
    <xf numFmtId="169" fontId="0" fillId="0" borderId="0" xfId="0" applyNumberFormat="1" applyAlignment="1">
      <alignment horizontal="center"/>
    </xf>
    <xf numFmtId="0" fontId="9" fillId="6" borderId="0" xfId="0" applyFont="1" applyFill="1" applyBorder="1"/>
    <xf numFmtId="0" fontId="8" fillId="7" borderId="0" xfId="0" applyFont="1" applyFill="1" applyAlignment="1">
      <alignment horizontal="center"/>
    </xf>
    <xf numFmtId="0" fontId="8" fillId="7" borderId="0" xfId="0" applyFont="1" applyFill="1"/>
    <xf numFmtId="0" fontId="8" fillId="0" borderId="0" xfId="0" applyFont="1" applyAlignment="1">
      <alignment horizontal="center"/>
    </xf>
    <xf numFmtId="9" fontId="8" fillId="0" borderId="0" xfId="0" applyNumberFormat="1" applyFont="1" applyAlignment="1">
      <alignment horizontal="center"/>
    </xf>
    <xf numFmtId="169" fontId="8" fillId="0" borderId="0" xfId="0" applyNumberFormat="1" applyFont="1" applyAlignment="1">
      <alignment horizontal="center"/>
    </xf>
    <xf numFmtId="169" fontId="8" fillId="7" borderId="0" xfId="0" applyNumberFormat="1" applyFont="1" applyFill="1" applyAlignment="1">
      <alignment horizontal="center"/>
    </xf>
    <xf numFmtId="0" fontId="0" fillId="0" borderId="4" xfId="0" applyBorder="1"/>
    <xf numFmtId="0" fontId="8" fillId="0" borderId="4" xfId="0" applyFont="1" applyBorder="1" applyAlignment="1">
      <alignment horizontal="center"/>
    </xf>
    <xf numFmtId="9" fontId="8" fillId="0" borderId="4" xfId="0" applyNumberFormat="1" applyFont="1" applyBorder="1" applyAlignment="1">
      <alignment horizontal="center"/>
    </xf>
    <xf numFmtId="0" fontId="0" fillId="0" borderId="0" xfId="0" applyFill="1" applyBorder="1"/>
    <xf numFmtId="9" fontId="0" fillId="0" borderId="4" xfId="0" applyNumberFormat="1" applyBorder="1"/>
    <xf numFmtId="0" fontId="1" fillId="2" borderId="0" xfId="1"/>
    <xf numFmtId="10" fontId="1" fillId="2" borderId="0" xfId="1" applyNumberFormat="1"/>
  </cellXfs>
  <cellStyles count="2">
    <cellStyle name="Neutro" xfId="1" builtinId="28"/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ferramenta!$B$34:$B$39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ferramenta!$C$34:$C$39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78-4588-B1A7-97309C7E3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hyperlink" Target="https://valoresreais.com/2017/01/23/uma-estrategia-efetiva-para-controlar-o-gasto-de-dinheiro/" TargetMode="External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106681</xdr:rowOff>
    </xdr:from>
    <xdr:to>
      <xdr:col>1</xdr:col>
      <xdr:colOff>2019300</xdr:colOff>
      <xdr:row>7</xdr:row>
      <xdr:rowOff>144781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E45B01B-AC8A-DD70-71EE-2B5C82DD6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52400" y="106681"/>
          <a:ext cx="2476500" cy="1318260"/>
        </a:xfrm>
        <a:prstGeom prst="rect">
          <a:avLst/>
        </a:prstGeom>
      </xdr:spPr>
    </xdr:pic>
    <xdr:clientData/>
  </xdr:twoCellAnchor>
  <xdr:twoCellAnchor>
    <xdr:from>
      <xdr:col>1</xdr:col>
      <xdr:colOff>22860</xdr:colOff>
      <xdr:row>42</xdr:row>
      <xdr:rowOff>121920</xdr:rowOff>
    </xdr:from>
    <xdr:to>
      <xdr:col>3</xdr:col>
      <xdr:colOff>1066800</xdr:colOff>
      <xdr:row>56</xdr:row>
      <xdr:rowOff>53340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3A4F352-9844-94EB-D46C-C58DA57DC6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C43BA-C88C-453B-A74D-27DB27510C22}">
  <dimension ref="A10:F40"/>
  <sheetViews>
    <sheetView showGridLines="0" tabSelected="1" workbookViewId="0">
      <selection activeCell="C30" sqref="C30"/>
    </sheetView>
  </sheetViews>
  <sheetFormatPr defaultColWidth="0" defaultRowHeight="14.4" x14ac:dyDescent="0.3"/>
  <cols>
    <col min="1" max="1" width="8.88671875" customWidth="1"/>
    <col min="2" max="2" width="33.77734375" bestFit="1" customWidth="1"/>
    <col min="3" max="3" width="19" bestFit="1" customWidth="1"/>
    <col min="4" max="4" width="17.6640625" customWidth="1"/>
    <col min="5" max="5" width="22.109375" customWidth="1"/>
    <col min="6" max="6" width="1.21875" customWidth="1"/>
    <col min="7" max="7" width="2.109375" customWidth="1"/>
    <col min="8" max="8" width="2.5546875" customWidth="1"/>
    <col min="9" max="16384" width="8.88671875" hidden="1"/>
  </cols>
  <sheetData>
    <row r="10" spans="2:4" ht="15" thickBot="1" x14ac:dyDescent="0.35"/>
    <row r="11" spans="2:4" ht="18" x14ac:dyDescent="0.35">
      <c r="B11" s="10" t="s">
        <v>14</v>
      </c>
      <c r="C11" s="11"/>
      <c r="D11" s="12"/>
    </row>
    <row r="12" spans="2:4" ht="15.6" x14ac:dyDescent="0.3">
      <c r="B12" s="32" t="s">
        <v>13</v>
      </c>
      <c r="C12" s="33"/>
      <c r="D12" s="13">
        <v>5500</v>
      </c>
    </row>
    <row r="13" spans="2:4" ht="15.6" x14ac:dyDescent="0.3">
      <c r="B13" s="34" t="s">
        <v>12</v>
      </c>
      <c r="C13" s="35"/>
      <c r="D13" s="6">
        <v>8.0000000000000002E-3</v>
      </c>
    </row>
    <row r="14" spans="2:4" ht="16.2" thickBot="1" x14ac:dyDescent="0.35">
      <c r="B14" s="36" t="s">
        <v>33</v>
      </c>
      <c r="C14" s="37"/>
      <c r="D14" s="7">
        <f>D12*30%</f>
        <v>1650</v>
      </c>
    </row>
    <row r="15" spans="2:4" ht="15" thickBot="1" x14ac:dyDescent="0.35">
      <c r="C15" s="3"/>
    </row>
    <row r="16" spans="2:4" ht="30" customHeight="1" x14ac:dyDescent="0.3">
      <c r="B16" s="1" t="s">
        <v>5</v>
      </c>
      <c r="C16" s="14"/>
      <c r="D16" s="2"/>
    </row>
    <row r="17" spans="1:4" ht="15.6" x14ac:dyDescent="0.3">
      <c r="B17" s="38" t="s">
        <v>0</v>
      </c>
      <c r="C17" s="39"/>
      <c r="D17" s="23">
        <v>500</v>
      </c>
    </row>
    <row r="18" spans="1:4" ht="15.6" x14ac:dyDescent="0.3">
      <c r="B18" s="40" t="s">
        <v>1</v>
      </c>
      <c r="C18" s="41"/>
      <c r="D18" s="24">
        <v>5</v>
      </c>
    </row>
    <row r="19" spans="1:4" ht="15.6" x14ac:dyDescent="0.3">
      <c r="B19" s="40" t="s">
        <v>2</v>
      </c>
      <c r="C19" s="41"/>
      <c r="D19" s="25">
        <v>1.0789999999999999E-2</v>
      </c>
    </row>
    <row r="20" spans="1:4" ht="15.6" x14ac:dyDescent="0.3">
      <c r="B20" s="29" t="s">
        <v>3</v>
      </c>
      <c r="C20" s="28"/>
      <c r="D20" s="26">
        <f>FV(taxa_mensal,qtd_anos*12,aporte*-1)</f>
        <v>41888.456999243819</v>
      </c>
    </row>
    <row r="21" spans="1:4" ht="16.2" thickBot="1" x14ac:dyDescent="0.35">
      <c r="B21" s="30" t="s">
        <v>4</v>
      </c>
      <c r="C21" s="31"/>
      <c r="D21" s="27">
        <f>patrimonio*rendimento_carteira</f>
        <v>335.10765599395057</v>
      </c>
    </row>
    <row r="22" spans="1:4" ht="15" thickBot="1" x14ac:dyDescent="0.35"/>
    <row r="23" spans="1:4" ht="23.4" x14ac:dyDescent="0.3">
      <c r="B23" s="1" t="s">
        <v>34</v>
      </c>
      <c r="C23" s="14"/>
      <c r="D23" s="15" t="s">
        <v>11</v>
      </c>
    </row>
    <row r="24" spans="1:4" ht="15.6" x14ac:dyDescent="0.3">
      <c r="A24" s="4">
        <v>2</v>
      </c>
      <c r="B24" s="16" t="s">
        <v>6</v>
      </c>
      <c r="C24" s="8">
        <f>FV(taxa_mensal,$A24*12,aporte*-1)</f>
        <v>13613.813648822608</v>
      </c>
      <c r="D24" s="17">
        <f>C24*rendimento_carteira</f>
        <v>108.91050919058087</v>
      </c>
    </row>
    <row r="25" spans="1:4" ht="15.6" x14ac:dyDescent="0.3">
      <c r="A25" s="4">
        <v>5</v>
      </c>
      <c r="B25" s="18" t="s">
        <v>7</v>
      </c>
      <c r="C25" s="8">
        <f>FV(taxa_mensal,$A25*12,aporte*-1)</f>
        <v>41888.456999243819</v>
      </c>
      <c r="D25" s="19">
        <f>C25*rendimento_carteira</f>
        <v>335.10765599395057</v>
      </c>
    </row>
    <row r="26" spans="1:4" ht="15.6" x14ac:dyDescent="0.3">
      <c r="A26" s="4">
        <v>10</v>
      </c>
      <c r="B26" s="18" t="s">
        <v>8</v>
      </c>
      <c r="C26" s="9">
        <f>FV(taxa_mensal,$A26*12,aporte*-1)</f>
        <v>121642.1062650861</v>
      </c>
      <c r="D26" s="19">
        <f>C26*rendimento_carteira</f>
        <v>973.13685012068879</v>
      </c>
    </row>
    <row r="27" spans="1:4" ht="15.6" x14ac:dyDescent="0.3">
      <c r="A27" s="4">
        <v>20</v>
      </c>
      <c r="B27" s="18" t="s">
        <v>9</v>
      </c>
      <c r="C27" s="9">
        <f>FV(taxa_mensal,$A27*12,aporte*-1)</f>
        <v>562599.20004854025</v>
      </c>
      <c r="D27" s="19">
        <f>C27*rendimento_carteira</f>
        <v>4500.7936003883224</v>
      </c>
    </row>
    <row r="28" spans="1:4" ht="16.2" thickBot="1" x14ac:dyDescent="0.35">
      <c r="A28" s="4">
        <v>30</v>
      </c>
      <c r="B28" s="20" t="s">
        <v>10</v>
      </c>
      <c r="C28" s="21">
        <f>FV(taxa_mensal,$A28*12,aporte*-1)</f>
        <v>2161084.8275023573</v>
      </c>
      <c r="D28" s="22">
        <f>C28*rendimento_carteira</f>
        <v>17288.678620018858</v>
      </c>
    </row>
    <row r="30" spans="1:4" ht="15.6" x14ac:dyDescent="0.3">
      <c r="B30" s="46" t="s">
        <v>17</v>
      </c>
      <c r="C30" s="44" t="s">
        <v>32</v>
      </c>
      <c r="D30" s="43"/>
    </row>
    <row r="31" spans="1:4" ht="15.6" x14ac:dyDescent="0.3">
      <c r="B31" s="42" t="s">
        <v>16</v>
      </c>
      <c r="C31" s="45">
        <v>1650</v>
      </c>
    </row>
    <row r="33" spans="2:4" ht="15.6" x14ac:dyDescent="0.3">
      <c r="B33" s="47" t="s">
        <v>18</v>
      </c>
      <c r="C33" s="48" t="s">
        <v>25</v>
      </c>
      <c r="D33" s="47" t="s">
        <v>26</v>
      </c>
    </row>
    <row r="34" spans="2:4" ht="15.6" x14ac:dyDescent="0.3">
      <c r="B34" s="49" t="s">
        <v>19</v>
      </c>
      <c r="C34" s="50">
        <f>VLOOKUP($C$30&amp;"-"&amp;B34,'tab. apoio'!$A:$D,4,FALSE)</f>
        <v>0.5</v>
      </c>
      <c r="D34" s="51">
        <f>$C$31*C34</f>
        <v>825</v>
      </c>
    </row>
    <row r="35" spans="2:4" ht="15.6" x14ac:dyDescent="0.3">
      <c r="B35" s="49" t="s">
        <v>20</v>
      </c>
      <c r="C35" s="50">
        <f>VLOOKUP($C$30&amp;"-"&amp;B35,'tab. apoio'!$A:$D,4,FALSE)</f>
        <v>0.1</v>
      </c>
      <c r="D35" s="51">
        <f t="shared" ref="D35:D39" si="0">$C$31*C35</f>
        <v>165</v>
      </c>
    </row>
    <row r="36" spans="2:4" ht="15.6" x14ac:dyDescent="0.3">
      <c r="B36" s="49" t="s">
        <v>21</v>
      </c>
      <c r="C36" s="50">
        <f>VLOOKUP($C$30&amp;"-"&amp;B36,'tab. apoio'!$A:$D,4,FALSE)</f>
        <v>0.05</v>
      </c>
      <c r="D36" s="51">
        <f t="shared" si="0"/>
        <v>82.5</v>
      </c>
    </row>
    <row r="37" spans="2:4" ht="15.6" x14ac:dyDescent="0.3">
      <c r="B37" s="49" t="s">
        <v>22</v>
      </c>
      <c r="C37" s="50">
        <f>VLOOKUP($C$30&amp;"-"&amp;B37,'tab. apoio'!$A:$D,4,FALSE)</f>
        <v>0.05</v>
      </c>
      <c r="D37" s="51">
        <f t="shared" si="0"/>
        <v>82.5</v>
      </c>
    </row>
    <row r="38" spans="2:4" ht="15.6" x14ac:dyDescent="0.3">
      <c r="B38" s="49" t="s">
        <v>23</v>
      </c>
      <c r="C38" s="50">
        <f>VLOOKUP($C$30&amp;"-"&amp;B38,'tab. apoio'!$A:$D,4,FALSE)</f>
        <v>0.2</v>
      </c>
      <c r="D38" s="51">
        <f t="shared" si="0"/>
        <v>330</v>
      </c>
    </row>
    <row r="39" spans="2:4" ht="15.6" x14ac:dyDescent="0.3">
      <c r="B39" s="49" t="s">
        <v>24</v>
      </c>
      <c r="C39" s="50">
        <f>VLOOKUP($C$30&amp;"-"&amp;B39,'tab. apoio'!$A:$D,4,FALSE)</f>
        <v>0.1</v>
      </c>
      <c r="D39" s="51">
        <f t="shared" si="0"/>
        <v>165</v>
      </c>
    </row>
    <row r="40" spans="2:4" ht="15.6" x14ac:dyDescent="0.3">
      <c r="B40" s="48"/>
      <c r="C40" s="48"/>
      <c r="D40" s="52">
        <f>SUM(D34:D39)</f>
        <v>1650</v>
      </c>
    </row>
  </sheetData>
  <mergeCells count="11">
    <mergeCell ref="B11:C11"/>
    <mergeCell ref="B12:C12"/>
    <mergeCell ref="B13:C13"/>
    <mergeCell ref="B14:C14"/>
    <mergeCell ref="B16:C16"/>
    <mergeCell ref="B23:C23"/>
    <mergeCell ref="B17:C17"/>
    <mergeCell ref="B18:C18"/>
    <mergeCell ref="B19:C19"/>
    <mergeCell ref="B20:C20"/>
    <mergeCell ref="B21:C21"/>
  </mergeCells>
  <dataValidations count="1">
    <dataValidation type="list" allowBlank="1" showInputMessage="1" showErrorMessage="1" sqref="C30" xr:uid="{16624D75-DAD2-4BE8-AE05-B67C53A75CC2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E7A07-79BF-4B07-B31B-9F0F704C28D5}">
  <dimension ref="A5:I23"/>
  <sheetViews>
    <sheetView workbookViewId="0">
      <selection activeCell="I8" sqref="I8"/>
    </sheetView>
  </sheetViews>
  <sheetFormatPr defaultRowHeight="14.4" x14ac:dyDescent="0.3"/>
  <cols>
    <col min="1" max="1" width="26.5546875" bestFit="1" customWidth="1"/>
    <col min="2" max="2" width="11.33203125" bestFit="1" customWidth="1"/>
    <col min="3" max="3" width="16.77734375" bestFit="1" customWidth="1"/>
    <col min="7" max="7" width="8.88671875" customWidth="1"/>
    <col min="8" max="8" width="17.33203125" customWidth="1"/>
  </cols>
  <sheetData>
    <row r="5" spans="1:9" ht="15.6" x14ac:dyDescent="0.3">
      <c r="B5" t="s">
        <v>27</v>
      </c>
      <c r="C5" s="47" t="s">
        <v>18</v>
      </c>
      <c r="D5" t="s">
        <v>29</v>
      </c>
    </row>
    <row r="6" spans="1:9" ht="15.6" x14ac:dyDescent="0.3">
      <c r="A6" t="str">
        <f>$B$6&amp;"-"&amp;C6</f>
        <v>Conservador-Papel</v>
      </c>
      <c r="B6" t="s">
        <v>28</v>
      </c>
      <c r="C6" s="49" t="s">
        <v>19</v>
      </c>
      <c r="D6" s="50">
        <v>0.3</v>
      </c>
    </row>
    <row r="7" spans="1:9" ht="15.6" x14ac:dyDescent="0.3">
      <c r="A7" t="str">
        <f t="shared" ref="A7:A23" si="0">$B$6&amp;"-"&amp;C7</f>
        <v>Conservador-Tijolo</v>
      </c>
      <c r="B7" t="s">
        <v>28</v>
      </c>
      <c r="C7" s="49" t="s">
        <v>20</v>
      </c>
      <c r="D7" s="50">
        <v>0.5</v>
      </c>
    </row>
    <row r="8" spans="1:9" ht="15.6" x14ac:dyDescent="0.3">
      <c r="A8" t="str">
        <f t="shared" si="0"/>
        <v>Conservador-Híbridos</v>
      </c>
      <c r="B8" t="s">
        <v>28</v>
      </c>
      <c r="C8" s="49" t="s">
        <v>21</v>
      </c>
      <c r="D8" s="50">
        <v>0.1</v>
      </c>
      <c r="H8" s="58" t="s">
        <v>31</v>
      </c>
      <c r="I8" s="59">
        <f>VLOOKUP(H8,$A:$D,4,FALSE)</f>
        <v>0.4</v>
      </c>
    </row>
    <row r="9" spans="1:9" ht="15.6" x14ac:dyDescent="0.3">
      <c r="A9" t="str">
        <f t="shared" si="0"/>
        <v>Conservador-FOFs</v>
      </c>
      <c r="B9" t="s">
        <v>28</v>
      </c>
      <c r="C9" s="49" t="s">
        <v>22</v>
      </c>
      <c r="D9" s="50">
        <v>0.1</v>
      </c>
    </row>
    <row r="10" spans="1:9" ht="15.6" x14ac:dyDescent="0.3">
      <c r="A10" t="str">
        <f t="shared" si="0"/>
        <v>Conservador-Desenvolvimento</v>
      </c>
      <c r="B10" t="s">
        <v>28</v>
      </c>
      <c r="C10" s="49" t="s">
        <v>23</v>
      </c>
      <c r="D10" s="50">
        <v>0</v>
      </c>
    </row>
    <row r="11" spans="1:9" ht="16.2" thickBot="1" x14ac:dyDescent="0.35">
      <c r="A11" s="53" t="str">
        <f t="shared" si="0"/>
        <v>Conservador-Hotelaria</v>
      </c>
      <c r="B11" s="53" t="s">
        <v>28</v>
      </c>
      <c r="C11" s="54" t="s">
        <v>24</v>
      </c>
      <c r="D11" s="55">
        <v>0</v>
      </c>
    </row>
    <row r="12" spans="1:9" ht="15.6" x14ac:dyDescent="0.3">
      <c r="A12" s="56" t="str">
        <f>B12&amp;"-"&amp;C12</f>
        <v>Moderado-Papel</v>
      </c>
      <c r="B12" t="s">
        <v>30</v>
      </c>
      <c r="C12" s="49" t="s">
        <v>19</v>
      </c>
      <c r="D12" s="5">
        <v>0.32</v>
      </c>
    </row>
    <row r="13" spans="1:9" ht="15.6" x14ac:dyDescent="0.3">
      <c r="A13" s="56" t="str">
        <f t="shared" ref="A13:A17" si="1">B13&amp;"-"&amp;C13</f>
        <v>Moderado-Tijolo</v>
      </c>
      <c r="B13" t="s">
        <v>30</v>
      </c>
      <c r="C13" s="49" t="s">
        <v>20</v>
      </c>
      <c r="D13" s="5">
        <v>0.4</v>
      </c>
    </row>
    <row r="14" spans="1:9" ht="15.6" x14ac:dyDescent="0.3">
      <c r="A14" s="56" t="str">
        <f t="shared" si="1"/>
        <v>Moderado-Híbridos</v>
      </c>
      <c r="B14" t="s">
        <v>30</v>
      </c>
      <c r="C14" s="49" t="s">
        <v>21</v>
      </c>
      <c r="D14" s="5">
        <v>0.08</v>
      </c>
    </row>
    <row r="15" spans="1:9" ht="15.6" x14ac:dyDescent="0.3">
      <c r="A15" s="56" t="str">
        <f t="shared" si="1"/>
        <v>Moderado-FOFs</v>
      </c>
      <c r="B15" t="s">
        <v>30</v>
      </c>
      <c r="C15" s="49" t="s">
        <v>22</v>
      </c>
      <c r="D15" s="5">
        <v>0.1</v>
      </c>
    </row>
    <row r="16" spans="1:9" ht="15.6" x14ac:dyDescent="0.3">
      <c r="A16" s="56" t="str">
        <f t="shared" si="1"/>
        <v>Moderado-Desenvolvimento</v>
      </c>
      <c r="B16" t="s">
        <v>30</v>
      </c>
      <c r="C16" s="49" t="s">
        <v>23</v>
      </c>
      <c r="D16" s="5">
        <v>0.05</v>
      </c>
    </row>
    <row r="17" spans="1:4" ht="16.2" thickBot="1" x14ac:dyDescent="0.35">
      <c r="A17" s="56" t="str">
        <f t="shared" si="1"/>
        <v>Moderado-Hotelaria</v>
      </c>
      <c r="B17" s="53" t="s">
        <v>30</v>
      </c>
      <c r="C17" s="54" t="s">
        <v>24</v>
      </c>
      <c r="D17" s="57">
        <v>0.05</v>
      </c>
    </row>
    <row r="18" spans="1:4" ht="15.6" x14ac:dyDescent="0.3">
      <c r="A18" s="56" t="str">
        <f>$B$18&amp;"-"&amp;C18</f>
        <v>Agressivo-Papel</v>
      </c>
      <c r="B18" t="s">
        <v>15</v>
      </c>
      <c r="C18" s="49" t="s">
        <v>19</v>
      </c>
      <c r="D18" s="5">
        <v>0.5</v>
      </c>
    </row>
    <row r="19" spans="1:4" ht="15.6" x14ac:dyDescent="0.3">
      <c r="A19" s="56" t="str">
        <f t="shared" ref="A19:A23" si="2">$B$18&amp;"-"&amp;C19</f>
        <v>Agressivo-Tijolo</v>
      </c>
      <c r="B19" t="s">
        <v>15</v>
      </c>
      <c r="C19" s="49" t="s">
        <v>20</v>
      </c>
      <c r="D19" s="5">
        <v>0.1</v>
      </c>
    </row>
    <row r="20" spans="1:4" ht="15.6" x14ac:dyDescent="0.3">
      <c r="A20" s="56" t="str">
        <f t="shared" si="2"/>
        <v>Agressivo-Híbridos</v>
      </c>
      <c r="B20" t="s">
        <v>15</v>
      </c>
      <c r="C20" s="49" t="s">
        <v>21</v>
      </c>
      <c r="D20" s="5">
        <v>0.05</v>
      </c>
    </row>
    <row r="21" spans="1:4" ht="15.6" x14ac:dyDescent="0.3">
      <c r="A21" s="56" t="str">
        <f t="shared" si="2"/>
        <v>Agressivo-FOFs</v>
      </c>
      <c r="B21" t="s">
        <v>15</v>
      </c>
      <c r="C21" s="49" t="s">
        <v>22</v>
      </c>
      <c r="D21" s="5">
        <v>0.05</v>
      </c>
    </row>
    <row r="22" spans="1:4" ht="15.6" x14ac:dyDescent="0.3">
      <c r="A22" s="56" t="str">
        <f t="shared" si="2"/>
        <v>Agressivo-Desenvolvimento</v>
      </c>
      <c r="B22" t="s">
        <v>15</v>
      </c>
      <c r="C22" s="49" t="s">
        <v>23</v>
      </c>
      <c r="D22" s="5">
        <v>0.2</v>
      </c>
    </row>
    <row r="23" spans="1:4" ht="15.6" x14ac:dyDescent="0.3">
      <c r="A23" s="56" t="str">
        <f t="shared" si="2"/>
        <v>Agressivo-Hotelaria</v>
      </c>
      <c r="B23" t="s">
        <v>15</v>
      </c>
      <c r="C23" s="49" t="s">
        <v>24</v>
      </c>
      <c r="D23" s="5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ferramenta</vt:lpstr>
      <vt:lpstr>tab. apoio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2026-09-01T22:56:51Z</dcterms:created>
  <dcterms:modified xsi:type="dcterms:W3CDTF">2026-09-02T23:03:47Z</dcterms:modified>
</cp:coreProperties>
</file>